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MPETHO\Downloads\"/>
    </mc:Choice>
  </mc:AlternateContent>
  <xr:revisionPtr revIDLastSave="0" documentId="8_{0BF826AA-DEFE-44A5-906E-16B89C2BC872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BY ROVINCE" sheetId="3" r:id="rId1"/>
    <sheet name="MOST WATCHED" sheetId="6" r:id="rId2"/>
    <sheet name="GENDER" sheetId="7" r:id="rId3"/>
    <sheet name="AGE BUCKETS" sheetId="8" r:id="rId4"/>
    <sheet name="TIMESLOTS" sheetId="9" r:id="rId5"/>
    <sheet name="MALE SPLIT BY RACE" sheetId="10" r:id="rId6"/>
    <sheet name="result" sheetId="1" r:id="rId7"/>
  </sheets>
  <definedNames>
    <definedName name="_xlcn.WorksheetConnection_resultC1D61" hidden="1">result!$C$1:$D$6</definedName>
  </definedNames>
  <calcPr calcId="0"/>
  <pivotCaches>
    <pivotCache cacheId="3" r:id="rId8"/>
    <pivotCache cacheId="16" r:id="rId9"/>
    <pivotCache cacheId="20" r:id="rId10"/>
    <pivotCache cacheId="24" r:id="rId11"/>
    <pivotCache cacheId="28" r:id="rId12"/>
    <pivotCache cacheId="32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esult!$C$1:$D$6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A9026-1E1E-42D6-AFBB-57DC96889E0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56451A6-EC5D-4B4B-B1F9-032B9454EA78}" name="WorksheetConnection_result!$C$1:$D$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sultC1D61"/>
        </x15:connection>
      </ext>
    </extLst>
  </connection>
</connections>
</file>

<file path=xl/sharedStrings.xml><?xml version="1.0" encoding="utf-8"?>
<sst xmlns="http://schemas.openxmlformats.org/spreadsheetml/2006/main" count="96" uniqueCount="43">
  <si>
    <t>Province</t>
  </si>
  <si>
    <t>Views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</si>
  <si>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</si>
  <si>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</si>
  <si>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</si>
  <si>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</si>
  <si>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</si>
  <si>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</si>
  <si>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</si>
  <si>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</si>
  <si>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None</t>
  </si>
  <si>
    <t>Northern Cape</t>
  </si>
  <si>
    <t>Row Labels</t>
  </si>
  <si>
    <t>Grand Total</t>
  </si>
  <si>
    <t>Sum of Views</t>
  </si>
  <si>
    <t>Channel</t>
  </si>
  <si>
    <t>Supersport Live Events</t>
  </si>
  <si>
    <t>ICC Cricket World Cup 2011</t>
  </si>
  <si>
    <t>Channel O</t>
  </si>
  <si>
    <t>Trace TV</t>
  </si>
  <si>
    <t>SuperSport Blitz</t>
  </si>
  <si>
    <t>Gender</t>
  </si>
  <si>
    <t>male</t>
  </si>
  <si>
    <t>female</t>
  </si>
  <si>
    <t>Age_Group</t>
  </si>
  <si>
    <t>55+</t>
  </si>
  <si>
    <t>18-34</t>
  </si>
  <si>
    <t>35-54</t>
  </si>
  <si>
    <t>0-17</t>
  </si>
  <si>
    <t>Time_Slot</t>
  </si>
  <si>
    <t>Total_Views</t>
  </si>
  <si>
    <t>Afternoon</t>
  </si>
  <si>
    <t>Morning</t>
  </si>
  <si>
    <t>Evening</t>
  </si>
  <si>
    <t>Night</t>
  </si>
  <si>
    <t>Sum of Total_Views</t>
  </si>
  <si>
    <t>Race</t>
  </si>
  <si>
    <t>black</t>
  </si>
  <si>
    <t>coloured</t>
  </si>
  <si>
    <t>indian_asian</t>
  </si>
  <si>
    <t>white</t>
  </si>
  <si>
    <t>other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</si>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</sst>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 Processing.xlsx]BY ROVINCE!PivotTable1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'BY ROVINCE'!$B$3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'BY 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'BY ROVINCE'!$B$4:$B$14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A-4FEB-BB3C-09F1B8550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 Processing.xlsx]MOST WATCHED!PivotTable3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WATCHED'!$B$3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773-494B-A969-415E9C92573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73-494B-A969-415E9C92573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773-494B-A969-415E9C9257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WATCHED'!$A$4:$A$9</c:f>
              <c:strCache>
                <c:ptCount val="5"/>
                <c:pt idx="0">
                  <c:v>Channel O</c:v>
                </c:pt>
                <c:pt idx="1">
                  <c:v>ICC Cricket World Cup 2011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'MOST WATCHED'!$B$4:$B$9</c:f>
              <c:numCache>
                <c:formatCode>General</c:formatCode>
                <c:ptCount val="5"/>
                <c:pt idx="0">
                  <c:v>1050</c:v>
                </c:pt>
                <c:pt idx="1">
                  <c:v>1465</c:v>
                </c:pt>
                <c:pt idx="2">
                  <c:v>896</c:v>
                </c:pt>
                <c:pt idx="3">
                  <c:v>1638</c:v>
                </c:pt>
                <c:pt idx="4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3-494B-A969-415E9C9257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0719039"/>
        <c:axId val="830728639"/>
      </c:barChart>
      <c:catAx>
        <c:axId val="83071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28639"/>
        <c:crosses val="autoZero"/>
        <c:auto val="1"/>
        <c:lblAlgn val="ctr"/>
        <c:lblOffset val="100"/>
        <c:noMultiLvlLbl val="0"/>
      </c:catAx>
      <c:valAx>
        <c:axId val="8307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1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 Processing.xlsx]GENDER!PivotTable4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GENDER!$B$3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BAB1-486D-A9F3-A6C307DFB0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AB1-486D-A9F3-A6C307DFB0A2}"/>
              </c:ext>
            </c:extLst>
          </c:dPt>
          <c:cat>
            <c:strRef>
              <c:f>GENDER!$A$4:$A$7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GENDER!$B$4:$B$7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1-486D-A9F3-A6C307DFB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0709439"/>
        <c:axId val="830709919"/>
        <c:axId val="917043487"/>
      </c:bar3DChart>
      <c:catAx>
        <c:axId val="8307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09919"/>
        <c:crosses val="autoZero"/>
        <c:auto val="1"/>
        <c:lblAlgn val="ctr"/>
        <c:lblOffset val="100"/>
        <c:noMultiLvlLbl val="0"/>
      </c:catAx>
      <c:valAx>
        <c:axId val="8307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09439"/>
        <c:crosses val="autoZero"/>
        <c:crossBetween val="between"/>
      </c:valAx>
      <c:serAx>
        <c:axId val="917043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09919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 Processing.xlsx]AGE BUCKETS!PivotTable5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'AGE BUCKETS'!$B$3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BUCKETS'!$A$4:$A$8</c:f>
              <c:strCache>
                <c:ptCount val="4"/>
                <c:pt idx="0">
                  <c:v>0-17</c:v>
                </c:pt>
                <c:pt idx="1">
                  <c:v>18-34</c:v>
                </c:pt>
                <c:pt idx="2">
                  <c:v>35-54</c:v>
                </c:pt>
                <c:pt idx="3">
                  <c:v>55+</c:v>
                </c:pt>
              </c:strCache>
            </c:strRef>
          </c:cat>
          <c:val>
            <c:numRef>
              <c:f>'AGE BUCKETS'!$B$4:$B$8</c:f>
              <c:numCache>
                <c:formatCode>General</c:formatCode>
                <c:ptCount val="4"/>
                <c:pt idx="0">
                  <c:v>539</c:v>
                </c:pt>
                <c:pt idx="1">
                  <c:v>5632</c:v>
                </c:pt>
                <c:pt idx="2">
                  <c:v>3562</c:v>
                </c:pt>
                <c:pt idx="3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A-460E-9B76-2DEBF5244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 Processing.xlsx]TIMESLOTS!PivotTable6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TIMESLOTS!$B$3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TIMESLOTS!$A$4:$A$8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TIMESLOTS!$B$4:$B$8</c:f>
              <c:numCache>
                <c:formatCode>General</c:formatCode>
                <c:ptCount val="4"/>
                <c:pt idx="0">
                  <c:v>3807</c:v>
                </c:pt>
                <c:pt idx="1">
                  <c:v>2352</c:v>
                </c:pt>
                <c:pt idx="2">
                  <c:v>3085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3-44C6-9607-4435E1CE8F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[BrightTV_Data Processing.xlsx]MALE SPLIT BY RACE!PivotTable7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'MALE SPLIT BY RACE'!$B$3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743C-4220-B306-17C74A7E2D7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43C-4220-B306-17C74A7E2D7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743C-4220-B306-17C74A7E2D7B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743C-4220-B306-17C74A7E2D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'MALE SPLIT BY RACE'!$A$4:$A$11</c:f>
              <c:strCache>
                <c:ptCount val="7"/>
                <c:pt idx="0">
                  <c:v> 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'MALE SPLIT BY RACE'!$B$4:$B$11</c:f>
              <c:numCache>
                <c:formatCode>General</c:formatCode>
                <c:ptCount val="7"/>
                <c:pt idx="0">
                  <c:v>8</c:v>
                </c:pt>
                <c:pt idx="1">
                  <c:v>3830</c:v>
                </c:pt>
                <c:pt idx="2">
                  <c:v>1498</c:v>
                </c:pt>
                <c:pt idx="3">
                  <c:v>1483</c:v>
                </c:pt>
                <c:pt idx="4">
                  <c:v>670</c:v>
                </c:pt>
                <c:pt idx="5">
                  <c:v>95</c:v>
                </c:pt>
                <c:pt idx="6">
                  <c:v>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C-4220-B306-17C74A7E2D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51787743"/>
        <c:axId val="1651799743"/>
        <c:axId val="913595791"/>
      </c:bar3DChart>
      <c:catAx>
        <c:axId val="165178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99743"/>
        <c:crosses val="autoZero"/>
        <c:auto val="1"/>
        <c:lblAlgn val="ctr"/>
        <c:lblOffset val="100"/>
        <c:noMultiLvlLbl val="0"/>
      </c:catAx>
      <c:valAx>
        <c:axId val="165179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87743"/>
        <c:crosses val="autoZero"/>
        <c:crossBetween val="between"/>
      </c:valAx>
      <c:serAx>
        <c:axId val="913595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9974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671512</xdr:colOff>
      <xdr:row>2</xdr:row>
      <xdr:rowOff>19050</xdr:rowOff>
    </xdr:from>
    <xdr:to>
      <xdr:col>10</xdr:col>
      <xdr:colOff>442912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C9383B-AFDB-7E45-EB15-44C8E45C6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671512</xdr:colOff>
      <xdr:row>2</xdr:row>
      <xdr:rowOff>19050</xdr:rowOff>
    </xdr:from>
    <xdr:to>
      <xdr:col>9</xdr:col>
      <xdr:colOff>442912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97E27-20F2-6C78-6800-6F52C609F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490537</xdr:colOff>
      <xdr:row>3</xdr:row>
      <xdr:rowOff>57150</xdr:rowOff>
    </xdr:from>
    <xdr:to>
      <xdr:col>9</xdr:col>
      <xdr:colOff>261937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9F7C3-1C96-DA17-C18C-F334B2407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1</xdr:row>
      <xdr:rowOff>190500</xdr:rowOff>
    </xdr:from>
    <xdr:to>
      <xdr:col>10</xdr:col>
      <xdr:colOff>500062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E0C0F-819F-1B9F-0FAD-07D81AD79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</xdr:colOff>
      <xdr:row>1</xdr:row>
      <xdr:rowOff>180975</xdr:rowOff>
    </xdr:from>
    <xdr:to>
      <xdr:col>9</xdr:col>
      <xdr:colOff>547687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B6E66-D6D5-B2FA-4884-B996DAD31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2</xdr:row>
      <xdr:rowOff>38100</xdr:rowOff>
    </xdr:from>
    <xdr:to>
      <xdr:col>10</xdr:col>
      <xdr:colOff>4762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AC39E-B2E5-3C5E-7739-5386B9902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26.526040277779" createdVersion="8" refreshedVersion="8" minRefreshableVersion="3" recordCount="10" xr:uid="{85348E42-D56F-48CD-9537-8C762394D27E}">
  <cacheSource type="worksheet">
    <worksheetSource ref="A1:B11" sheet="result"/>
  </cacheSource>
  <cacheFields count="2">
    <cacheField name="Province" numFmtId="0">
      <sharedItems count="10">
        <s v="Gauteng"/>
        <s v="Western Cape"/>
        <s v="Kwazulu Natal"/>
        <s v="Mpumalanga"/>
        <s v="Limpopo"/>
        <s v="Eastern Cape"/>
        <s v="North West"/>
        <s v="Free State"/>
        <s v="None"/>
        <s v="Northern Cape"/>
      </sharedItems>
    </cacheField>
    <cacheField name="Views" numFmtId="0">
      <sharedItems containsSemiMixedTypes="0" containsString="0" containsNumber="1" containsInteger="1" minValue="230" maxValue="3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PETHO" refreshedDate="46126.531734606484" backgroundQuery="1" createdVersion="8" refreshedVersion="8" minRefreshableVersion="3" recordCount="0" supportSubquery="1" supportAdvancedDrill="1" xr:uid="{292D31F7-1C0A-437D-8099-58468CB05CC2}">
  <cacheSource type="external" connectionId="1"/>
  <cacheFields count="2">
    <cacheField name="[Range].[Channel].[Channel]" caption="Channel" numFmtId="0" level="1">
      <sharedItems count="5">
        <s v="Channel O"/>
        <s v="ICC Cricket World Cup 2011"/>
        <s v="SuperSport Blitz"/>
        <s v="Supersport Live Events"/>
        <s v="Trace TV"/>
      </sharedItems>
    </cacheField>
    <cacheField name="[Measures].[Sum of Views]" caption="Sum of Views" numFmtId="0" hierarchy="4" level="32767"/>
  </cacheFields>
  <cacheHierarchies count="5"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Views]" caption="Views" attribute="1" defaultMemberUniqueName="[Range].[Views].[All]" allUniqueName="[Range].[View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iews]" caption="Sum of View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26.53298935185" createdVersion="8" refreshedVersion="8" minRefreshableVersion="3" recordCount="3" xr:uid="{71DF9E88-10ED-4E7C-9B23-25B71260E050}">
  <cacheSource type="worksheet">
    <worksheetSource ref="E1:F4" sheet="result"/>
  </cacheSource>
  <cacheFields count="2">
    <cacheField name="Gender" numFmtId="0">
      <sharedItems count="3">
        <s v="None"/>
        <s v="male"/>
        <s v="female"/>
      </sharedItems>
    </cacheField>
    <cacheField name="Views" numFmtId="0">
      <sharedItems containsSemiMixedTypes="0" containsString="0" containsNumber="1" containsInteger="1" minValue="262" maxValue="87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26.536112384259" createdVersion="8" refreshedVersion="8" minRefreshableVersion="3" recordCount="4" xr:uid="{F8DBB04A-9FDE-4644-B129-96953F447F1E}">
  <cacheSource type="worksheet">
    <worksheetSource ref="G1:H5" sheet="result"/>
  </cacheSource>
  <cacheFields count="2">
    <cacheField name="Age_Group" numFmtId="0">
      <sharedItems count="4">
        <s v="55+"/>
        <s v="18-34"/>
        <s v="35-54"/>
        <s v="0-17"/>
      </sharedItems>
    </cacheField>
    <cacheField name="Views" numFmtId="0">
      <sharedItems containsSemiMixedTypes="0" containsString="0" containsNumber="1" containsInteger="1" minValue="267" maxValue="56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26.538418865741" createdVersion="8" refreshedVersion="8" minRefreshableVersion="3" recordCount="4" xr:uid="{2615AC06-4411-4308-800B-160633438EC2}">
  <cacheSource type="worksheet">
    <worksheetSource ref="I1:J5" sheet="result"/>
  </cacheSource>
  <cacheFields count="2">
    <cacheField name="Time_Slot" numFmtId="0">
      <sharedItems count="4">
        <s v="Afternoon"/>
        <s v="Morning"/>
        <s v="Evening"/>
        <s v="Night"/>
      </sharedItems>
    </cacheField>
    <cacheField name="Total_Views" numFmtId="0">
      <sharedItems containsSemiMixedTypes="0" containsString="0" containsNumber="1" containsInteger="1" minValue="756" maxValue="38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PETHO" refreshedDate="46126.541655092595" createdVersion="8" refreshedVersion="8" minRefreshableVersion="3" recordCount="7" xr:uid="{74E7CE36-8D12-4B00-B7EE-A643D6955838}">
  <cacheSource type="worksheet">
    <worksheetSource ref="K1:L8" sheet="result"/>
  </cacheSource>
  <cacheFields count="2">
    <cacheField name="Race" numFmtId="0">
      <sharedItems count="7">
        <s v="black"/>
        <s v="coloured"/>
        <s v="indian_asian"/>
        <s v="white"/>
        <s v="None"/>
        <s v="other"/>
        <s v=" "/>
      </sharedItems>
    </cacheField>
    <cacheField name="Total_Views" numFmtId="0">
      <sharedItems containsSemiMixedTypes="0" containsString="0" containsNumber="1" containsInteger="1" minValue="8" maxValue="38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654"/>
  </r>
  <r>
    <x v="1"/>
    <n v="1845"/>
  </r>
  <r>
    <x v="2"/>
    <n v="1001"/>
  </r>
  <r>
    <x v="3"/>
    <n v="918"/>
  </r>
  <r>
    <x v="4"/>
    <n v="763"/>
  </r>
  <r>
    <x v="5"/>
    <n v="690"/>
  </r>
  <r>
    <x v="6"/>
    <n v="344"/>
  </r>
  <r>
    <x v="7"/>
    <n v="292"/>
  </r>
  <r>
    <x v="8"/>
    <n v="263"/>
  </r>
  <r>
    <x v="9"/>
    <n v="2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62"/>
  </r>
  <r>
    <x v="1"/>
    <n v="8761"/>
  </r>
  <r>
    <x v="2"/>
    <n v="97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67"/>
  </r>
  <r>
    <x v="1"/>
    <n v="5632"/>
  </r>
  <r>
    <x v="2"/>
    <n v="3562"/>
  </r>
  <r>
    <x v="3"/>
    <n v="53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807"/>
  </r>
  <r>
    <x v="1"/>
    <n v="3085"/>
  </r>
  <r>
    <x v="2"/>
    <n v="2352"/>
  </r>
  <r>
    <x v="3"/>
    <n v="75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3830"/>
  </r>
  <r>
    <x v="1"/>
    <n v="1498"/>
  </r>
  <r>
    <x v="2"/>
    <n v="1483"/>
  </r>
  <r>
    <x v="3"/>
    <n v="1177"/>
  </r>
  <r>
    <x v="4"/>
    <n v="670"/>
  </r>
  <r>
    <x v="5"/>
    <n v="95"/>
  </r>
  <r>
    <x v="6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DE50B-20DC-49CE-88E6-FCB36A6A116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">
    <pivotField axis="axisRow" showAll="0">
      <items count="11">
        <item x="5"/>
        <item x="7"/>
        <item x="0"/>
        <item x="2"/>
        <item x="4"/>
        <item x="3"/>
        <item x="8"/>
        <item x="6"/>
        <item x="9"/>
        <item x="1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Views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6C658-2151-4C73-96A8-DC2BC8283F23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iews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5"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sult!$C$1:$D$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041D7-F3A6-403C-A19E-B2B7458C6096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iew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D8FED-7BB2-4B35-A8C5-3649C11D05EE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">
    <pivotField axis="axisRow" showAll="0">
      <items count="5">
        <item x="3"/>
        <item x="1"/>
        <item x="2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iew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7E705-58EB-4789-B553-AACAB1EEBD73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View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3056E-D6F9-4229-AD7F-5CC059485B4D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2">
    <pivotField axis="axisRow" showAll="0">
      <items count="8">
        <item x="6"/>
        <item x="0"/>
        <item x="1"/>
        <item x="2"/>
        <item x="4"/>
        <item x="5"/>
        <item x="3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Views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3221-EDA5-4972-A3AE-1697CB09A335}">
  <dimension ref="A3:B14"/>
  <sheetViews>
    <sheetView workbookViewId="0">
      <selection activeCell="L12" sqref="L12"/>
    </sheetView>
  </sheetViews>
  <sheetFormatPr defaultRowHeight="15.75" x14ac:dyDescent="0.25"/>
  <cols>
    <col min="1" max="1" width="12.625" bestFit="1" customWidth="1"/>
    <col min="2" max="2" width="11.75" bestFit="1" customWidth="1"/>
  </cols>
  <sheetData>
    <row r="3" spans="1:2" x14ac:dyDescent="0.25">
      <c r="A3" s="1" t="s">
        <v>12</v>
      </c>
      <c r="B3" t="s">
        <v>14</v>
      </c>
    </row>
    <row r="4" spans="1:2" x14ac:dyDescent="0.25">
      <c r="A4" s="2" t="s">
        <v>7</v>
      </c>
      <c r="B4" s="3">
        <v>690</v>
      </c>
    </row>
    <row r="5" spans="1:2" x14ac:dyDescent="0.25">
      <c r="A5" s="2" t="s">
        <v>9</v>
      </c>
      <c r="B5" s="3">
        <v>292</v>
      </c>
    </row>
    <row r="6" spans="1:2" x14ac:dyDescent="0.25">
      <c r="A6" s="2" t="s">
        <v>2</v>
      </c>
      <c r="B6" s="3">
        <v>3654</v>
      </c>
    </row>
    <row r="7" spans="1:2" x14ac:dyDescent="0.25">
      <c r="A7" s="2" t="s">
        <v>4</v>
      </c>
      <c r="B7" s="3">
        <v>1001</v>
      </c>
    </row>
    <row r="8" spans="1:2" x14ac:dyDescent="0.25">
      <c r="A8" s="2" t="s">
        <v>6</v>
      </c>
      <c r="B8" s="3">
        <v>763</v>
      </c>
    </row>
    <row r="9" spans="1:2" x14ac:dyDescent="0.25">
      <c r="A9" s="2" t="s">
        <v>5</v>
      </c>
      <c r="B9" s="3">
        <v>918</v>
      </c>
    </row>
    <row r="10" spans="1:2" x14ac:dyDescent="0.25">
      <c r="A10" s="2" t="s">
        <v>10</v>
      </c>
      <c r="B10" s="3">
        <v>263</v>
      </c>
    </row>
    <row r="11" spans="1:2" x14ac:dyDescent="0.25">
      <c r="A11" s="2" t="s">
        <v>8</v>
      </c>
      <c r="B11" s="3">
        <v>344</v>
      </c>
    </row>
    <row r="12" spans="1:2" x14ac:dyDescent="0.25">
      <c r="A12" s="2" t="s">
        <v>11</v>
      </c>
      <c r="B12" s="3">
        <v>230</v>
      </c>
    </row>
    <row r="13" spans="1:2" x14ac:dyDescent="0.25">
      <c r="A13" s="2" t="s">
        <v>3</v>
      </c>
      <c r="B13" s="3">
        <v>1845</v>
      </c>
    </row>
    <row r="14" spans="1:2" x14ac:dyDescent="0.25">
      <c r="A14" s="2" t="s">
        <v>13</v>
      </c>
      <c r="B14" s="3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7B9D-1232-4A72-AFD3-F32236903885}">
  <dimension ref="A3:B9"/>
  <sheetViews>
    <sheetView workbookViewId="0">
      <selection activeCell="K17" sqref="K17"/>
    </sheetView>
  </sheetViews>
  <sheetFormatPr defaultRowHeight="15.75" x14ac:dyDescent="0.25"/>
  <cols>
    <col min="1" max="1" width="23.625" bestFit="1" customWidth="1"/>
    <col min="2" max="2" width="11.75" bestFit="1" customWidth="1"/>
  </cols>
  <sheetData>
    <row r="3" spans="1:2" x14ac:dyDescent="0.25">
      <c r="A3" s="1" t="s">
        <v>12</v>
      </c>
      <c r="B3" t="s">
        <v>14</v>
      </c>
    </row>
    <row r="4" spans="1:2" x14ac:dyDescent="0.25">
      <c r="A4" s="2" t="s">
        <v>18</v>
      </c>
      <c r="B4" s="3">
        <v>1050</v>
      </c>
    </row>
    <row r="5" spans="1:2" x14ac:dyDescent="0.25">
      <c r="A5" s="2" t="s">
        <v>17</v>
      </c>
      <c r="B5" s="3">
        <v>1465</v>
      </c>
    </row>
    <row r="6" spans="1:2" x14ac:dyDescent="0.25">
      <c r="A6" s="2" t="s">
        <v>20</v>
      </c>
      <c r="B6" s="3">
        <v>896</v>
      </c>
    </row>
    <row r="7" spans="1:2" x14ac:dyDescent="0.25">
      <c r="A7" s="2" t="s">
        <v>16</v>
      </c>
      <c r="B7" s="3">
        <v>1638</v>
      </c>
    </row>
    <row r="8" spans="1:2" x14ac:dyDescent="0.25">
      <c r="A8" s="2" t="s">
        <v>19</v>
      </c>
      <c r="B8" s="3">
        <v>952</v>
      </c>
    </row>
    <row r="9" spans="1:2" x14ac:dyDescent="0.25">
      <c r="A9" s="2" t="s">
        <v>13</v>
      </c>
      <c r="B9" s="3">
        <v>6001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615A-46A0-401F-9370-B73D59AF79B7}">
  <dimension ref="A3:B7"/>
  <sheetViews>
    <sheetView workbookViewId="0">
      <selection activeCell="J9" sqref="J9"/>
    </sheetView>
  </sheetViews>
  <sheetFormatPr defaultRowHeight="15.75" x14ac:dyDescent="0.25"/>
  <cols>
    <col min="1" max="1" width="12.125" bestFit="1" customWidth="1"/>
    <col min="2" max="2" width="11.75" bestFit="1" customWidth="1"/>
  </cols>
  <sheetData>
    <row r="3" spans="1:2" x14ac:dyDescent="0.25">
      <c r="A3" s="1" t="s">
        <v>12</v>
      </c>
      <c r="B3" t="s">
        <v>14</v>
      </c>
    </row>
    <row r="4" spans="1:2" x14ac:dyDescent="0.25">
      <c r="A4" s="2" t="s">
        <v>23</v>
      </c>
      <c r="B4" s="3">
        <v>977</v>
      </c>
    </row>
    <row r="5" spans="1:2" x14ac:dyDescent="0.25">
      <c r="A5" s="2" t="s">
        <v>22</v>
      </c>
      <c r="B5" s="3">
        <v>8761</v>
      </c>
    </row>
    <row r="6" spans="1:2" x14ac:dyDescent="0.25">
      <c r="A6" s="2" t="s">
        <v>10</v>
      </c>
      <c r="B6" s="3">
        <v>262</v>
      </c>
    </row>
    <row r="7" spans="1:2" x14ac:dyDescent="0.25">
      <c r="A7" s="2" t="s">
        <v>13</v>
      </c>
      <c r="B7" s="3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CBB9-4C1F-4A6F-865B-3535414202CD}">
  <dimension ref="A3:B8"/>
  <sheetViews>
    <sheetView workbookViewId="0">
      <selection activeCell="L11" sqref="L11"/>
    </sheetView>
  </sheetViews>
  <sheetFormatPr defaultRowHeight="15.75" x14ac:dyDescent="0.25"/>
  <cols>
    <col min="1" max="1" width="12.125" bestFit="1" customWidth="1"/>
    <col min="2" max="2" width="11.75" bestFit="1" customWidth="1"/>
  </cols>
  <sheetData>
    <row r="3" spans="1:2" x14ac:dyDescent="0.25">
      <c r="A3" s="1" t="s">
        <v>12</v>
      </c>
      <c r="B3" t="s">
        <v>14</v>
      </c>
    </row>
    <row r="4" spans="1:2" x14ac:dyDescent="0.25">
      <c r="A4" s="2" t="s">
        <v>28</v>
      </c>
      <c r="B4" s="3">
        <v>539</v>
      </c>
    </row>
    <row r="5" spans="1:2" x14ac:dyDescent="0.25">
      <c r="A5" s="2" t="s">
        <v>26</v>
      </c>
      <c r="B5" s="3">
        <v>5632</v>
      </c>
    </row>
    <row r="6" spans="1:2" x14ac:dyDescent="0.25">
      <c r="A6" s="2" t="s">
        <v>27</v>
      </c>
      <c r="B6" s="3">
        <v>3562</v>
      </c>
    </row>
    <row r="7" spans="1:2" x14ac:dyDescent="0.25">
      <c r="A7" s="2" t="s">
        <v>25</v>
      </c>
      <c r="B7" s="3">
        <v>267</v>
      </c>
    </row>
    <row r="8" spans="1:2" x14ac:dyDescent="0.25">
      <c r="A8" s="2" t="s">
        <v>13</v>
      </c>
      <c r="B8" s="3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6AAF-6721-4675-A446-4BA9266B1026}">
  <dimension ref="A3:B8"/>
  <sheetViews>
    <sheetView workbookViewId="0">
      <selection activeCell="K10" sqref="K10"/>
    </sheetView>
  </sheetViews>
  <sheetFormatPr defaultRowHeight="15.75" x14ac:dyDescent="0.25"/>
  <cols>
    <col min="1" max="1" width="12.125" bestFit="1" customWidth="1"/>
    <col min="2" max="2" width="17.125" bestFit="1" customWidth="1"/>
  </cols>
  <sheetData>
    <row r="3" spans="1:2" x14ac:dyDescent="0.25">
      <c r="A3" s="1" t="s">
        <v>12</v>
      </c>
      <c r="B3" t="s">
        <v>35</v>
      </c>
    </row>
    <row r="4" spans="1:2" x14ac:dyDescent="0.25">
      <c r="A4" s="2" t="s">
        <v>31</v>
      </c>
      <c r="B4" s="3">
        <v>3807</v>
      </c>
    </row>
    <row r="5" spans="1:2" x14ac:dyDescent="0.25">
      <c r="A5" s="2" t="s">
        <v>33</v>
      </c>
      <c r="B5" s="3">
        <v>2352</v>
      </c>
    </row>
    <row r="6" spans="1:2" x14ac:dyDescent="0.25">
      <c r="A6" s="2" t="s">
        <v>32</v>
      </c>
      <c r="B6" s="3">
        <v>3085</v>
      </c>
    </row>
    <row r="7" spans="1:2" x14ac:dyDescent="0.25">
      <c r="A7" s="2" t="s">
        <v>34</v>
      </c>
      <c r="B7" s="3">
        <v>756</v>
      </c>
    </row>
    <row r="8" spans="1:2" x14ac:dyDescent="0.25">
      <c r="A8" s="2" t="s">
        <v>13</v>
      </c>
      <c r="B8" s="3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8B2B-88DA-42FD-BA02-24A98A120E82}">
  <dimension ref="A3:B11"/>
  <sheetViews>
    <sheetView tabSelected="1" workbookViewId="0">
      <selection activeCell="L14" sqref="L14"/>
    </sheetView>
  </sheetViews>
  <sheetFormatPr defaultRowHeight="15.75" x14ac:dyDescent="0.25"/>
  <cols>
    <col min="1" max="1" width="12.125" bestFit="1" customWidth="1"/>
    <col min="2" max="2" width="17.125" bestFit="1" customWidth="1"/>
  </cols>
  <sheetData>
    <row r="3" spans="1:2" x14ac:dyDescent="0.25">
      <c r="A3" s="1" t="s">
        <v>12</v>
      </c>
      <c r="B3" t="s">
        <v>35</v>
      </c>
    </row>
    <row r="4" spans="1:2" x14ac:dyDescent="0.25">
      <c r="A4" s="2" t="s">
        <v>42</v>
      </c>
      <c r="B4" s="3">
        <v>8</v>
      </c>
    </row>
    <row r="5" spans="1:2" x14ac:dyDescent="0.25">
      <c r="A5" s="2" t="s">
        <v>37</v>
      </c>
      <c r="B5" s="3">
        <v>3830</v>
      </c>
    </row>
    <row r="6" spans="1:2" x14ac:dyDescent="0.25">
      <c r="A6" s="2" t="s">
        <v>38</v>
      </c>
      <c r="B6" s="3">
        <v>1498</v>
      </c>
    </row>
    <row r="7" spans="1:2" x14ac:dyDescent="0.25">
      <c r="A7" s="2" t="s">
        <v>39</v>
      </c>
      <c r="B7" s="3">
        <v>1483</v>
      </c>
    </row>
    <row r="8" spans="1:2" x14ac:dyDescent="0.25">
      <c r="A8" s="2" t="s">
        <v>10</v>
      </c>
      <c r="B8" s="3">
        <v>670</v>
      </c>
    </row>
    <row r="9" spans="1:2" x14ac:dyDescent="0.25">
      <c r="A9" s="2" t="s">
        <v>41</v>
      </c>
      <c r="B9" s="3">
        <v>95</v>
      </c>
    </row>
    <row r="10" spans="1:2" x14ac:dyDescent="0.25">
      <c r="A10" s="2" t="s">
        <v>40</v>
      </c>
      <c r="B10" s="3">
        <v>1177</v>
      </c>
    </row>
    <row r="11" spans="1:2" x14ac:dyDescent="0.25">
      <c r="A11" s="2" t="s">
        <v>13</v>
      </c>
      <c r="B11" s="3">
        <v>8761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K1" sqref="K1:L8"/>
    </sheetView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15</v>
      </c>
      <c r="D1" t="s">
        <v>1</v>
      </c>
      <c r="E1" t="s">
        <v>21</v>
      </c>
      <c r="F1" t="s">
        <v>1</v>
      </c>
      <c r="G1" t="s">
        <v>24</v>
      </c>
      <c r="H1" t="s">
        <v>1</v>
      </c>
      <c r="I1" t="s">
        <v>29</v>
      </c>
      <c r="J1" t="s">
        <v>30</v>
      </c>
      <c r="K1" t="s">
        <v>36</v>
      </c>
      <c r="L1" t="s">
        <v>30</v>
      </c>
    </row>
    <row r="2" spans="1:12" ht="15.75" x14ac:dyDescent="0.25">
      <c r="A2" t="s">
        <v>2</v>
      </c>
      <c r="B2">
        <v>3654</v>
      </c>
      <c r="C2" t="s">
        <v>16</v>
      </c>
      <c r="D2">
        <v>1638</v>
      </c>
      <c r="E2" t="s">
        <v>10</v>
      </c>
      <c r="F2">
        <v>262</v>
      </c>
      <c r="G2" t="s">
        <v>25</v>
      </c>
      <c r="H2">
        <v>267</v>
      </c>
      <c r="I2" t="s">
        <v>31</v>
      </c>
      <c r="J2">
        <v>3807</v>
      </c>
      <c r="K2" t="s">
        <v>37</v>
      </c>
      <c r="L2">
        <v>3830</v>
      </c>
    </row>
    <row r="3" spans="1:12" ht="15.75" x14ac:dyDescent="0.25">
      <c r="A3" t="s">
        <v>3</v>
      </c>
      <c r="B3">
        <v>1845</v>
      </c>
      <c r="C3" t="s">
        <v>17</v>
      </c>
      <c r="D3">
        <v>1465</v>
      </c>
      <c r="E3" t="s">
        <v>22</v>
      </c>
      <c r="F3">
        <v>8761</v>
      </c>
      <c r="G3" t="s">
        <v>26</v>
      </c>
      <c r="H3">
        <v>5632</v>
      </c>
      <c r="I3" t="s">
        <v>32</v>
      </c>
      <c r="J3">
        <v>3085</v>
      </c>
      <c r="K3" t="s">
        <v>38</v>
      </c>
      <c r="L3">
        <v>1498</v>
      </c>
    </row>
    <row r="4" spans="1:12" ht="15.75" x14ac:dyDescent="0.25">
      <c r="A4" t="s">
        <v>4</v>
      </c>
      <c r="B4">
        <v>1001</v>
      </c>
      <c r="C4" t="s">
        <v>18</v>
      </c>
      <c r="D4">
        <v>1050</v>
      </c>
      <c r="E4" t="s">
        <v>23</v>
      </c>
      <c r="F4">
        <v>977</v>
      </c>
      <c r="G4" t="s">
        <v>27</v>
      </c>
      <c r="H4">
        <v>3562</v>
      </c>
      <c r="I4" t="s">
        <v>33</v>
      </c>
      <c r="J4">
        <v>2352</v>
      </c>
      <c r="K4" t="s">
        <v>39</v>
      </c>
      <c r="L4">
        <v>1483</v>
      </c>
    </row>
    <row r="5" spans="1:12" ht="15.75" x14ac:dyDescent="0.25">
      <c r="A5" t="s">
        <v>5</v>
      </c>
      <c r="B5">
        <v>918</v>
      </c>
      <c r="C5" t="s">
        <v>19</v>
      </c>
      <c r="D5">
        <v>952</v>
      </c>
      <c r="G5" t="s">
        <v>28</v>
      </c>
      <c r="H5">
        <v>539</v>
      </c>
      <c r="I5" t="s">
        <v>34</v>
      </c>
      <c r="J5">
        <v>756</v>
      </c>
      <c r="K5" t="s">
        <v>40</v>
      </c>
      <c r="L5">
        <v>1177</v>
      </c>
    </row>
    <row r="6" spans="1:12" ht="15.75" x14ac:dyDescent="0.25">
      <c r="A6" t="s">
        <v>6</v>
      </c>
      <c r="B6">
        <v>763</v>
      </c>
      <c r="C6" t="s">
        <v>20</v>
      </c>
      <c r="D6">
        <v>896</v>
      </c>
      <c r="K6" t="s">
        <v>10</v>
      </c>
      <c r="L6">
        <v>670</v>
      </c>
    </row>
    <row r="7" spans="1:12" ht="15.75" x14ac:dyDescent="0.25">
      <c r="A7" t="s">
        <v>7</v>
      </c>
      <c r="B7">
        <v>690</v>
      </c>
      <c r="K7" t="s">
        <v>41</v>
      </c>
      <c r="L7">
        <v>95</v>
      </c>
    </row>
    <row r="8" spans="1:12" ht="15.75" x14ac:dyDescent="0.25">
      <c r="A8" t="s">
        <v>8</v>
      </c>
      <c r="B8">
        <v>344</v>
      </c>
      <c r="K8" t="s">
        <v>42</v>
      </c>
      <c r="L8">
        <v>8</v>
      </c>
    </row>
    <row r="9" spans="1:12" ht="15.75" x14ac:dyDescent="0.25">
      <c r="A9" t="s">
        <v>9</v>
      </c>
      <c r="B9">
        <v>292</v>
      </c>
    </row>
    <row r="10" spans="1:12" ht="15.75" x14ac:dyDescent="0.25">
      <c r="A10" t="s">
        <v>10</v>
      </c>
      <c r="B10">
        <v>263</v>
      </c>
    </row>
    <row r="11" spans="1:12" ht="15.75" x14ac:dyDescent="0.25">
      <c r="A11" t="s">
        <v>11</v>
      </c>
      <c r="B11">
        <v>230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ROVINCE</vt:lpstr>
      <vt:lpstr>MOST WATCHED</vt:lpstr>
      <vt:lpstr>GENDER</vt:lpstr>
      <vt:lpstr>AGE BUCKETS</vt:lpstr>
      <vt:lpstr>TIMESLOTS</vt:lpstr>
      <vt:lpstr>MALE SPLIT BY RACE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Nompetho Ngobeni</cp:lastModifiedBy>
  <dcterms:created xsi:type="dcterms:W3CDTF">2026-04-14T11:04:55Z</dcterms:created>
  <dcterms:modified xsi:type="dcterms:W3CDTF">2026-04-14T11:04:56Z</dcterms:modified>
</cp:coreProperties>
</file>